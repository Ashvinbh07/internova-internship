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c45c0e4f2e2250a/Desktop/internnova-internship/week_3/"/>
    </mc:Choice>
  </mc:AlternateContent>
  <xr:revisionPtr revIDLastSave="81" documentId="11_BBC6D0CFACCAF2DCFF43A47EEBF4C8732D25ED2E" xr6:coauthVersionLast="47" xr6:coauthVersionMax="47" xr10:uidLastSave="{F533A8A3-94FD-46CF-A8CF-23DF44AA6567}"/>
  <bookViews>
    <workbookView xWindow="-108" yWindow="-108" windowWidth="23256" windowHeight="12456" activeTab="2" xr2:uid="{00000000-000D-0000-FFFF-FFFF00000000}"/>
  </bookViews>
  <sheets>
    <sheet name="Pivot_Analysis" sheetId="4" r:id="rId1"/>
    <sheet name="Sales_Data" sheetId="1" r:id="rId2"/>
    <sheet name="Product_Lookup" sheetId="2" r:id="rId3"/>
  </sheets>
  <definedNames>
    <definedName name="_xlnm._FilterDatabase" localSheetId="2" hidden="1">Product_Lookup!$A$1:$D$9</definedName>
    <definedName name="_xlnm._FilterDatabase" localSheetId="1" hidden="1">Sales_Data!$A$1:$K$31</definedName>
  </definedNames>
  <calcPr calcId="191029"/>
  <pivotCaches>
    <pivotCache cacheId="3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2" i="1"/>
  <c r="O3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</calcChain>
</file>

<file path=xl/sharedStrings.xml><?xml version="1.0" encoding="utf-8"?>
<sst xmlns="http://schemas.openxmlformats.org/spreadsheetml/2006/main" count="224" uniqueCount="56">
  <si>
    <t>Sale_ID</t>
  </si>
  <si>
    <t>Sale_Date</t>
  </si>
  <si>
    <t>Customer_Name</t>
  </si>
  <si>
    <t>City</t>
  </si>
  <si>
    <t>Product_ID</t>
  </si>
  <si>
    <t>Product_Name</t>
  </si>
  <si>
    <t>Category</t>
  </si>
  <si>
    <t>Quantity</t>
  </si>
  <si>
    <t>Unit_Price</t>
  </si>
  <si>
    <t>Payment_Mode</t>
  </si>
  <si>
    <t>Salesperson</t>
  </si>
  <si>
    <t>Rahul Sharma</t>
  </si>
  <si>
    <t>Delhi</t>
  </si>
  <si>
    <t>Laptop</t>
  </si>
  <si>
    <t>Electronics</t>
  </si>
  <si>
    <t>UPI</t>
  </si>
  <si>
    <t>Ankit</t>
  </si>
  <si>
    <t>Priya Mehta</t>
  </si>
  <si>
    <t>Mumbai</t>
  </si>
  <si>
    <t>Mouse</t>
  </si>
  <si>
    <t>Credit Card</t>
  </si>
  <si>
    <t>Priya</t>
  </si>
  <si>
    <t>Amit Patel</t>
  </si>
  <si>
    <t>Ahmedabad</t>
  </si>
  <si>
    <t>Office Chair</t>
  </si>
  <si>
    <t>Furniture</t>
  </si>
  <si>
    <t>Debit Card</t>
  </si>
  <si>
    <t>Rahul</t>
  </si>
  <si>
    <t>Neha Singh</t>
  </si>
  <si>
    <t>Pune</t>
  </si>
  <si>
    <t>Keyboard</t>
  </si>
  <si>
    <t>Cash</t>
  </si>
  <si>
    <t>Neha</t>
  </si>
  <si>
    <t>Rohan Verma</t>
  </si>
  <si>
    <t>Desk</t>
  </si>
  <si>
    <t>Vikram</t>
  </si>
  <si>
    <t>Karan Malhotra</t>
  </si>
  <si>
    <t>Jaipur</t>
  </si>
  <si>
    <t>Monitor</t>
  </si>
  <si>
    <t>Simran Kaur</t>
  </si>
  <si>
    <t>Chandigarh</t>
  </si>
  <si>
    <t>Bookshelf</t>
  </si>
  <si>
    <t>Arjun Rao</t>
  </si>
  <si>
    <t>Bengaluru</t>
  </si>
  <si>
    <t>Headphones</t>
  </si>
  <si>
    <t>Sales_Value</t>
  </si>
  <si>
    <t>Sales_Level</t>
  </si>
  <si>
    <t>Metric</t>
  </si>
  <si>
    <t>Result</t>
  </si>
  <si>
    <t>High Value Sales Count</t>
  </si>
  <si>
    <t>Electronics Sales Value</t>
  </si>
  <si>
    <t>VLOOKUP_Result</t>
  </si>
  <si>
    <t>XLOOKUP_Result</t>
  </si>
  <si>
    <t>Row Labels</t>
  </si>
  <si>
    <t>Grand Total</t>
  </si>
  <si>
    <t>Sum of Sales_Value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</si>
</sst>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m\-yyyy"/>
    <numFmt numFmtId="166" formatCode="\₹#,##0.00"/>
    <numFmt numFmtId="167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[Week_3_SQL_Excel_Assignment.xlsx]Pivot_Analysis!PivotTable1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Sales Value by Product Category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Pivot_Analysis!$B$4:$B$6</c:f>
              <c:numCache>
                <c:formatCode>"₹"\ #,##0.00</c:formatCode>
                <c:ptCount val="2"/>
                <c:pt idx="0">
                  <c:v>985800</c:v>
                </c:pt>
                <c:pt idx="1">
                  <c:v>321000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C-4FA7-B059-9B67944516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155215"/>
        <c:axId val="70814351"/>
      </c:barChart>
      <c:catAx>
        <c:axId val="651552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14351"/>
        <c:crosses val="autoZero"/>
        <c:auto val="1"/>
        <c:lblAlgn val="ctr"/>
        <c:lblOffset val="100"/>
        <c:noMultiLvlLbl val="0"/>
      </c:catAx>
      <c:valAx>
        <c:axId val="7081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5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175260</xdr:rowOff>
    </xdr:from>
    <xdr:to>
      <xdr:col>11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DCA494-AF39-CEF3-A2B6-AC2C000E4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vin Bhatt" refreshedDate="46300.054090509257" createdVersion="8" refreshedVersion="8" minRefreshableVersion="3" recordCount="30" xr:uid="{083DA02B-FDCA-4334-9D25-03EB5F3437B1}">
  <cacheSource type="worksheet">
    <worksheetSource ref="A1:Q31" sheet="Sales_Data"/>
  </cacheSource>
  <cacheFields count="17">
    <cacheField name="Sale_ID" numFmtId="0">
      <sharedItems containsSemiMixedTypes="0" containsString="0" containsNumber="1" containsInteger="1" minValue="1001" maxValue="1030"/>
    </cacheField>
    <cacheField name="Sale_Date" numFmtId="165">
      <sharedItems containsSemiMixedTypes="0" containsNonDate="0" containsDate="1" containsString="0" minDate="2026-09-01T00:00:00" maxDate="2026-09-16T00:00:00"/>
    </cacheField>
    <cacheField name="Customer_Name" numFmtId="0">
      <sharedItems/>
    </cacheField>
    <cacheField name="City" numFmtId="0">
      <sharedItems/>
    </cacheField>
    <cacheField name="Product_ID" numFmtId="0">
      <sharedItems containsSemiMixedTypes="0" containsString="0" containsNumber="1" containsInteger="1" minValue="101" maxValue="108"/>
    </cacheField>
    <cacheField name="Product_Name" numFmtId="0">
      <sharedItems/>
    </cacheField>
    <cacheField name="Category" numFmtId="0">
      <sharedItems count="2">
        <s v="Electronics"/>
        <s v="Furniture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166">
      <sharedItems containsSemiMixedTypes="0" containsString="0" containsNumber="1" containsInteger="1" minValue="800" maxValue="60000"/>
    </cacheField>
    <cacheField name="Payment_Mode" numFmtId="0">
      <sharedItems/>
    </cacheField>
    <cacheField name="Salesperson" numFmtId="0">
      <sharedItems/>
    </cacheField>
    <cacheField name="Sales_Value" numFmtId="167">
      <sharedItems containsSemiMixedTypes="0" containsString="0" containsNumber="1" containsInteger="1" minValue="800" maxValue="300000"/>
    </cacheField>
    <cacheField name="Sales_Level" numFmtId="0">
      <sharedItems/>
    </cacheField>
    <cacheField name="Metric" numFmtId="0">
      <sharedItems containsBlank="1"/>
    </cacheField>
    <cacheField name="Result" numFmtId="0">
      <sharedItems containsString="0" containsBlank="1" containsNumber="1" containsInteger="1" minValue="7" maxValue="985800"/>
    </cacheField>
    <cacheField name="VLOOKUP_Result" numFmtId="0">
      <sharedItems/>
    </cacheField>
    <cacheField name="XLOOKUP_Resul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d v="2026-09-01T00:00:00"/>
    <s v="Rahul Sharma"/>
    <s v="Delhi"/>
    <n v="101"/>
    <s v="Laptop"/>
    <x v="0"/>
    <n v="1"/>
    <n v="60000"/>
    <s v="UPI"/>
    <s v="Ankit"/>
    <n v="60000"/>
    <s v="High"/>
    <s v="High Value Sales Count"/>
    <n v="7"/>
    <s v="Laptop"/>
    <s v="Laptop"/>
  </r>
  <r>
    <n v="1009"/>
    <d v="2026-09-09T00:00:00"/>
    <s v="Rahul Sharma"/>
    <s v="Delhi"/>
    <n v="101"/>
    <s v="Laptop"/>
    <x v="0"/>
    <n v="4"/>
    <n v="60000"/>
    <s v="UPI"/>
    <s v="Neha"/>
    <n v="240000"/>
    <s v="High"/>
    <s v="Electronics Sales Value"/>
    <n v="985800"/>
    <s v="Laptop"/>
    <s v="Laptop"/>
  </r>
  <r>
    <n v="1017"/>
    <d v="2026-09-02T00:00:00"/>
    <s v="Rahul Sharma"/>
    <s v="Delhi"/>
    <n v="101"/>
    <s v="Laptop"/>
    <x v="0"/>
    <n v="2"/>
    <n v="60000"/>
    <s v="UPI"/>
    <s v="Priya"/>
    <n v="120000"/>
    <s v="High"/>
    <m/>
    <m/>
    <s v="Laptop"/>
    <s v="Laptop"/>
  </r>
  <r>
    <n v="1025"/>
    <d v="2026-09-10T00:00:00"/>
    <s v="Rahul Sharma"/>
    <s v="Delhi"/>
    <n v="101"/>
    <s v="Laptop"/>
    <x v="0"/>
    <n v="5"/>
    <n v="60000"/>
    <s v="UPI"/>
    <s v="Vikram"/>
    <n v="300000"/>
    <s v="High"/>
    <m/>
    <m/>
    <s v="Laptop"/>
    <s v="Laptop"/>
  </r>
  <r>
    <n v="1006"/>
    <d v="2026-09-06T00:00:00"/>
    <s v="Karan Malhotra"/>
    <s v="Jaipur"/>
    <n v="106"/>
    <s v="Monitor"/>
    <x v="0"/>
    <n v="1"/>
    <n v="18000"/>
    <s v="Credit Card"/>
    <s v="Ankit"/>
    <n v="18000"/>
    <s v="Normal"/>
    <m/>
    <m/>
    <s v="Monitor"/>
    <s v="Monitor"/>
  </r>
  <r>
    <n v="1014"/>
    <d v="2026-09-14T00:00:00"/>
    <s v="Karan Malhotra"/>
    <s v="Jaipur"/>
    <n v="106"/>
    <s v="Monitor"/>
    <x v="0"/>
    <n v="4"/>
    <n v="18000"/>
    <s v="Credit Card"/>
    <s v="Neha"/>
    <n v="72000"/>
    <s v="High"/>
    <m/>
    <m/>
    <s v="Monitor"/>
    <s v="Monitor"/>
  </r>
  <r>
    <n v="1022"/>
    <d v="2026-09-07T00:00:00"/>
    <s v="Karan Malhotra"/>
    <s v="Jaipur"/>
    <n v="106"/>
    <s v="Monitor"/>
    <x v="0"/>
    <n v="2"/>
    <n v="18000"/>
    <s v="Credit Card"/>
    <s v="Priya"/>
    <n v="36000"/>
    <s v="Normal"/>
    <m/>
    <m/>
    <s v="Monitor"/>
    <s v="Monitor"/>
  </r>
  <r>
    <n v="1030"/>
    <d v="2026-09-15T00:00:00"/>
    <s v="Karan Malhotra"/>
    <s v="Jaipur"/>
    <n v="106"/>
    <s v="Monitor"/>
    <x v="0"/>
    <n v="5"/>
    <n v="18000"/>
    <s v="Credit Card"/>
    <s v="Vikram"/>
    <n v="90000"/>
    <s v="High"/>
    <m/>
    <m/>
    <s v="Monitor"/>
    <s v="Monitor"/>
  </r>
  <r>
    <n v="1005"/>
    <d v="2026-09-05T00:00:00"/>
    <s v="Rohan Verma"/>
    <s v="Delhi"/>
    <n v="105"/>
    <s v="Desk"/>
    <x v="1"/>
    <n v="5"/>
    <n v="12000"/>
    <s v="UPI"/>
    <s v="Vikram"/>
    <n v="60000"/>
    <s v="High"/>
    <m/>
    <m/>
    <s v="Desk"/>
    <s v="Desk"/>
  </r>
  <r>
    <n v="1013"/>
    <d v="2026-09-13T00:00:00"/>
    <s v="Rohan Verma"/>
    <s v="Delhi"/>
    <n v="105"/>
    <s v="Desk"/>
    <x v="1"/>
    <n v="3"/>
    <n v="12000"/>
    <s v="UPI"/>
    <s v="Rahul"/>
    <n v="36000"/>
    <s v="Normal"/>
    <m/>
    <m/>
    <s v="Desk"/>
    <s v="Desk"/>
  </r>
  <r>
    <n v="1021"/>
    <d v="2026-09-06T00:00:00"/>
    <s v="Rohan Verma"/>
    <s v="Delhi"/>
    <n v="105"/>
    <s v="Desk"/>
    <x v="1"/>
    <n v="1"/>
    <n v="12000"/>
    <s v="UPI"/>
    <s v="Ankit"/>
    <n v="12000"/>
    <s v="Normal"/>
    <m/>
    <m/>
    <s v="Desk"/>
    <s v="Desk"/>
  </r>
  <r>
    <n v="1029"/>
    <d v="2026-09-14T00:00:00"/>
    <s v="Rohan Verma"/>
    <s v="Delhi"/>
    <n v="105"/>
    <s v="Desk"/>
    <x v="1"/>
    <n v="4"/>
    <n v="12000"/>
    <s v="UPI"/>
    <s v="Neha"/>
    <n v="48000"/>
    <s v="Normal"/>
    <m/>
    <m/>
    <s v="Desk"/>
    <s v="Desk"/>
  </r>
  <r>
    <n v="1007"/>
    <d v="2026-09-07T00:00:00"/>
    <s v="Simran Kaur"/>
    <s v="Chandigarh"/>
    <n v="107"/>
    <s v="Bookshelf"/>
    <x v="1"/>
    <n v="2"/>
    <n v="9000"/>
    <s v="Debit Card"/>
    <s v="Priya"/>
    <n v="18000"/>
    <s v="Normal"/>
    <m/>
    <m/>
    <s v="Bookshelf"/>
    <s v="Bookshelf"/>
  </r>
  <r>
    <n v="1015"/>
    <d v="2026-09-15T00:00:00"/>
    <s v="Simran Kaur"/>
    <s v="Chandigarh"/>
    <n v="107"/>
    <s v="Bookshelf"/>
    <x v="1"/>
    <n v="5"/>
    <n v="9000"/>
    <s v="Debit Card"/>
    <s v="Vikram"/>
    <n v="45000"/>
    <s v="Normal"/>
    <m/>
    <m/>
    <s v="Bookshelf"/>
    <s v="Bookshelf"/>
  </r>
  <r>
    <n v="1023"/>
    <d v="2026-09-08T00:00:00"/>
    <s v="Simran Kaur"/>
    <s v="Chandigarh"/>
    <n v="107"/>
    <s v="Bookshelf"/>
    <x v="1"/>
    <n v="3"/>
    <n v="9000"/>
    <s v="Debit Card"/>
    <s v="Rahul"/>
    <n v="27000"/>
    <s v="Normal"/>
    <m/>
    <m/>
    <s v="Bookshelf"/>
    <s v="Bookshelf"/>
  </r>
  <r>
    <n v="1003"/>
    <d v="2026-09-03T00:00:00"/>
    <s v="Amit Patel"/>
    <s v="Ahmedabad"/>
    <n v="103"/>
    <s v="Office Chair"/>
    <x v="1"/>
    <n v="3"/>
    <n v="7500"/>
    <s v="Debit Card"/>
    <s v="Rahul"/>
    <n v="22500"/>
    <s v="Normal"/>
    <m/>
    <m/>
    <s v="Office Chair"/>
    <s v="Office Chair"/>
  </r>
  <r>
    <n v="1011"/>
    <d v="2026-09-11T00:00:00"/>
    <s v="Amit Patel"/>
    <s v="Ahmedabad"/>
    <n v="103"/>
    <s v="Office Chair"/>
    <x v="1"/>
    <n v="1"/>
    <n v="7500"/>
    <s v="Debit Card"/>
    <s v="Ankit"/>
    <n v="7500"/>
    <s v="Normal"/>
    <m/>
    <m/>
    <s v="Office Chair"/>
    <s v="Office Chair"/>
  </r>
  <r>
    <n v="1019"/>
    <d v="2026-09-04T00:00:00"/>
    <s v="Amit Patel"/>
    <s v="Ahmedabad"/>
    <n v="103"/>
    <s v="Office Chair"/>
    <x v="1"/>
    <n v="4"/>
    <n v="7500"/>
    <s v="Debit Card"/>
    <s v="Neha"/>
    <n v="30000"/>
    <s v="Normal"/>
    <m/>
    <m/>
    <s v="Office Chair"/>
    <s v="Office Chair"/>
  </r>
  <r>
    <n v="1027"/>
    <d v="2026-09-12T00:00:00"/>
    <s v="Amit Patel"/>
    <s v="Ahmedabad"/>
    <n v="103"/>
    <s v="Office Chair"/>
    <x v="1"/>
    <n v="2"/>
    <n v="7500"/>
    <s v="Debit Card"/>
    <s v="Priya"/>
    <n v="15000"/>
    <s v="Normal"/>
    <m/>
    <m/>
    <s v="Office Chair"/>
    <s v="Office Chair"/>
  </r>
  <r>
    <n v="1008"/>
    <d v="2026-09-08T00:00:00"/>
    <s v="Arjun Rao"/>
    <s v="Bengaluru"/>
    <n v="108"/>
    <s v="Headphones"/>
    <x v="0"/>
    <n v="3"/>
    <n v="2500"/>
    <s v="Cash"/>
    <s v="Rahul"/>
    <n v="7500"/>
    <s v="Normal"/>
    <m/>
    <m/>
    <s v="Headphones"/>
    <s v="Headphones"/>
  </r>
  <r>
    <n v="1016"/>
    <d v="2026-09-01T00:00:00"/>
    <s v="Arjun Rao"/>
    <s v="Bengaluru"/>
    <n v="108"/>
    <s v="Headphones"/>
    <x v="0"/>
    <n v="1"/>
    <n v="2500"/>
    <s v="Cash"/>
    <s v="Ankit"/>
    <n v="2500"/>
    <s v="Normal"/>
    <m/>
    <m/>
    <s v="Headphones"/>
    <s v="Headphones"/>
  </r>
  <r>
    <n v="1024"/>
    <d v="2026-09-09T00:00:00"/>
    <s v="Arjun Rao"/>
    <s v="Bengaluru"/>
    <n v="108"/>
    <s v="Headphones"/>
    <x v="0"/>
    <n v="4"/>
    <n v="2500"/>
    <s v="Cash"/>
    <s v="Neha"/>
    <n v="10000"/>
    <s v="Normal"/>
    <m/>
    <m/>
    <s v="Headphones"/>
    <s v="Headphones"/>
  </r>
  <r>
    <n v="1004"/>
    <d v="2026-09-04T00:00:00"/>
    <s v="Neha Singh"/>
    <s v="Pune"/>
    <n v="104"/>
    <s v="Keyboard"/>
    <x v="0"/>
    <n v="4"/>
    <n v="1500"/>
    <s v="Cash"/>
    <s v="Neha"/>
    <n v="6000"/>
    <s v="Normal"/>
    <m/>
    <m/>
    <s v="Keyboard"/>
    <s v="Keyboard"/>
  </r>
  <r>
    <n v="1012"/>
    <d v="2026-09-12T00:00:00"/>
    <s v="Neha Singh"/>
    <s v="Pune"/>
    <n v="104"/>
    <s v="Keyboard"/>
    <x v="0"/>
    <n v="2"/>
    <n v="1500"/>
    <s v="Cash"/>
    <s v="Priya"/>
    <n v="3000"/>
    <s v="Normal"/>
    <m/>
    <m/>
    <s v="Keyboard"/>
    <s v="Keyboard"/>
  </r>
  <r>
    <n v="1020"/>
    <d v="2026-09-05T00:00:00"/>
    <s v="Neha Singh"/>
    <s v="Pune"/>
    <n v="104"/>
    <s v="Keyboard"/>
    <x v="0"/>
    <n v="5"/>
    <n v="1500"/>
    <s v="Cash"/>
    <s v="Vikram"/>
    <n v="7500"/>
    <s v="Normal"/>
    <m/>
    <m/>
    <s v="Keyboard"/>
    <s v="Keyboard"/>
  </r>
  <r>
    <n v="1028"/>
    <d v="2026-09-13T00:00:00"/>
    <s v="Neha Singh"/>
    <s v="Pune"/>
    <n v="104"/>
    <s v="Keyboard"/>
    <x v="0"/>
    <n v="3"/>
    <n v="1500"/>
    <s v="Cash"/>
    <s v="Rahul"/>
    <n v="4500"/>
    <s v="Normal"/>
    <m/>
    <m/>
    <s v="Keyboard"/>
    <s v="Keyboard"/>
  </r>
  <r>
    <n v="1002"/>
    <d v="2026-09-02T00:00:00"/>
    <s v="Priya Mehta"/>
    <s v="Mumbai"/>
    <n v="102"/>
    <s v="Mouse"/>
    <x v="0"/>
    <n v="2"/>
    <n v="800"/>
    <s v="Credit Card"/>
    <s v="Priya"/>
    <n v="1600"/>
    <s v="Normal"/>
    <m/>
    <m/>
    <s v="Mouse"/>
    <s v="Mouse"/>
  </r>
  <r>
    <n v="1010"/>
    <d v="2026-09-10T00:00:00"/>
    <s v="Priya Mehta"/>
    <s v="Mumbai"/>
    <n v="102"/>
    <s v="Mouse"/>
    <x v="0"/>
    <n v="5"/>
    <n v="800"/>
    <s v="Credit Card"/>
    <s v="Vikram"/>
    <n v="4000"/>
    <s v="Normal"/>
    <m/>
    <m/>
    <s v="Mouse"/>
    <s v="Mouse"/>
  </r>
  <r>
    <n v="1018"/>
    <d v="2026-09-03T00:00:00"/>
    <s v="Priya Mehta"/>
    <s v="Mumbai"/>
    <n v="102"/>
    <s v="Mouse"/>
    <x v="0"/>
    <n v="3"/>
    <n v="800"/>
    <s v="Credit Card"/>
    <s v="Rahul"/>
    <n v="2400"/>
    <s v="Normal"/>
    <m/>
    <m/>
    <s v="Mouse"/>
    <s v="Mouse"/>
  </r>
  <r>
    <n v="1026"/>
    <d v="2026-09-11T00:00:00"/>
    <s v="Priya Mehta"/>
    <s v="Mumbai"/>
    <n v="102"/>
    <s v="Mouse"/>
    <x v="0"/>
    <n v="1"/>
    <n v="800"/>
    <s v="Credit Card"/>
    <s v="Ankit"/>
    <n v="800"/>
    <s v="Normal"/>
    <m/>
    <m/>
    <s v="Mouse"/>
    <s v="Mous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E5594-1F75-40C1-932A-DF1AF41F7EF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7">
    <pivotField showAll="0"/>
    <pivotField numFmtId="165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66" showAll="0"/>
    <pivotField showAll="0"/>
    <pivotField showAll="0"/>
    <pivotField dataField="1" numFmtId="167"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Sales_Value" fld="11" baseField="0" baseItem="0" numFmtId="16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654A-8D77-44B7-9F0B-2AC8D57EB9AB}">
  <dimension ref="A3:B6"/>
  <sheetViews>
    <sheetView workbookViewId="0">
      <selection activeCell="B15" sqref="B15"/>
    </sheetView>
  </sheetViews>
  <sheetFormatPr defaultRowHeight="14.4" x14ac:dyDescent="0.3"/>
  <cols>
    <col min="1" max="1" width="12.5546875" bestFit="1" customWidth="1"/>
    <col min="2" max="2" width="17.6640625" bestFit="1" customWidth="1"/>
  </cols>
  <sheetData>
    <row r="3" spans="1:2" x14ac:dyDescent="0.3">
      <c r="A3" s="8" t="s">
        <v>53</v>
      </c>
      <c r="B3" t="s">
        <v>55</v>
      </c>
    </row>
    <row r="4" spans="1:2" x14ac:dyDescent="0.3">
      <c r="A4" s="9" t="s">
        <v>14</v>
      </c>
      <c r="B4" s="4">
        <v>985800</v>
      </c>
    </row>
    <row r="5" spans="1:2" x14ac:dyDescent="0.3">
      <c r="A5" s="9" t="s">
        <v>25</v>
      </c>
      <c r="B5" s="4">
        <v>321000</v>
      </c>
    </row>
    <row r="6" spans="1:2" x14ac:dyDescent="0.3">
      <c r="A6" s="9" t="s">
        <v>54</v>
      </c>
      <c r="B6" s="4">
        <v>1306800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zoomScale="80" zoomScaleNormal="80" workbookViewId="0">
      <pane ySplit="1" topLeftCell="A2" activePane="bottomLeft" state="frozen"/>
      <selection pane="bottomLeft" activeCell="B27" sqref="A1:Q31"/>
    </sheetView>
  </sheetViews>
  <sheetFormatPr defaultRowHeight="14.4" x14ac:dyDescent="0.3"/>
  <cols>
    <col min="1" max="1" width="11.6640625" bestFit="1" customWidth="1"/>
    <col min="2" max="2" width="13.77734375" bestFit="1" customWidth="1"/>
    <col min="3" max="3" width="19.6640625" bestFit="1" customWidth="1"/>
    <col min="4" max="4" width="10.6640625" bestFit="1" customWidth="1"/>
    <col min="5" max="5" width="14.88671875" bestFit="1" customWidth="1"/>
    <col min="6" max="6" width="18.21875" bestFit="1" customWidth="1"/>
    <col min="7" max="7" width="13" bestFit="1" customWidth="1"/>
    <col min="8" max="8" width="12.77734375" bestFit="1" customWidth="1"/>
    <col min="9" max="9" width="14.109375" bestFit="1" customWidth="1"/>
    <col min="10" max="10" width="19.109375" bestFit="1" customWidth="1"/>
    <col min="11" max="11" width="15.44140625" bestFit="1" customWidth="1"/>
    <col min="12" max="12" width="11.88671875" bestFit="1" customWidth="1"/>
    <col min="13" max="13" width="10.5546875" bestFit="1" customWidth="1"/>
    <col min="14" max="14" width="21.109375" bestFit="1" customWidth="1"/>
    <col min="15" max="15" width="11.88671875" customWidth="1"/>
    <col min="16" max="16" width="15.77734375" bestFit="1" customWidth="1"/>
    <col min="17" max="17" width="15.6640625" bestFit="1" customWidth="1"/>
  </cols>
  <sheetData>
    <row r="1" spans="1:1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45</v>
      </c>
      <c r="M1" s="7" t="s">
        <v>46</v>
      </c>
      <c r="N1" s="7" t="s">
        <v>47</v>
      </c>
      <c r="O1" s="7" t="s">
        <v>48</v>
      </c>
      <c r="P1" t="s">
        <v>51</v>
      </c>
      <c r="Q1" t="s">
        <v>52</v>
      </c>
    </row>
    <row r="2" spans="1:17" x14ac:dyDescent="0.3">
      <c r="A2">
        <v>1001</v>
      </c>
      <c r="B2" s="2">
        <v>46266</v>
      </c>
      <c r="C2" t="s">
        <v>11</v>
      </c>
      <c r="D2" t="s">
        <v>12</v>
      </c>
      <c r="E2">
        <v>101</v>
      </c>
      <c r="F2" t="s">
        <v>13</v>
      </c>
      <c r="G2" t="s">
        <v>14</v>
      </c>
      <c r="H2">
        <v>1</v>
      </c>
      <c r="I2" s="3">
        <v>60000</v>
      </c>
      <c r="J2" t="s">
        <v>15</v>
      </c>
      <c r="K2" t="s">
        <v>16</v>
      </c>
      <c r="L2" s="4">
        <f>H2*I2</f>
        <v>60000</v>
      </c>
      <c r="M2" t="str">
        <f>IF(L2&gt;=50000,"High","Normal")</f>
        <v>High</v>
      </c>
      <c r="N2" t="s">
        <v>49</v>
      </c>
      <c r="O2">
        <f>COUNTIF(M2:M31,"High")</f>
        <v>7</v>
      </c>
      <c r="P2" t="str">
        <f>VLOOKUP(E2,Product_Lookup!$A$2:$D$9,2,FALSE)</f>
        <v>Laptop</v>
      </c>
      <c r="Q2" t="str">
        <f>_xlfn.XLOOKUP(E2,Product_Lookup!$A$2:$A$9,Product_Lookup!$B$2:$B$9)</f>
        <v>Laptop</v>
      </c>
    </row>
    <row r="3" spans="1:17" x14ac:dyDescent="0.3">
      <c r="A3">
        <v>1009</v>
      </c>
      <c r="B3" s="2">
        <v>46274</v>
      </c>
      <c r="C3" t="s">
        <v>11</v>
      </c>
      <c r="D3" t="s">
        <v>12</v>
      </c>
      <c r="E3">
        <v>101</v>
      </c>
      <c r="F3" t="s">
        <v>13</v>
      </c>
      <c r="G3" t="s">
        <v>14</v>
      </c>
      <c r="H3">
        <v>4</v>
      </c>
      <c r="I3" s="3">
        <v>60000</v>
      </c>
      <c r="J3" t="s">
        <v>15</v>
      </c>
      <c r="K3" t="s">
        <v>32</v>
      </c>
      <c r="L3" s="4">
        <f t="shared" ref="L3:L31" si="0">H3*I3</f>
        <v>240000</v>
      </c>
      <c r="M3" t="str">
        <f t="shared" ref="M3:M31" si="1">IF(L3&gt;=50000,"High","Normal")</f>
        <v>High</v>
      </c>
      <c r="N3" t="s">
        <v>50</v>
      </c>
      <c r="O3" s="4">
        <f>SUMIF(G2:G31,"Electronics",L2:L31)</f>
        <v>985800</v>
      </c>
      <c r="P3" t="str">
        <f>VLOOKUP(E3,Product_Lookup!$A$2:$D$9,2,FALSE)</f>
        <v>Laptop</v>
      </c>
      <c r="Q3" t="str">
        <f>_xlfn.XLOOKUP(E3,Product_Lookup!$A$2:$A$9,Product_Lookup!$B$2:$B$9)</f>
        <v>Laptop</v>
      </c>
    </row>
    <row r="4" spans="1:17" x14ac:dyDescent="0.3">
      <c r="A4">
        <v>1017</v>
      </c>
      <c r="B4" s="2">
        <v>46267</v>
      </c>
      <c r="C4" t="s">
        <v>11</v>
      </c>
      <c r="D4" t="s">
        <v>12</v>
      </c>
      <c r="E4">
        <v>101</v>
      </c>
      <c r="F4" t="s">
        <v>13</v>
      </c>
      <c r="G4" t="s">
        <v>14</v>
      </c>
      <c r="H4">
        <v>2</v>
      </c>
      <c r="I4" s="3">
        <v>60000</v>
      </c>
      <c r="J4" t="s">
        <v>15</v>
      </c>
      <c r="K4" t="s">
        <v>21</v>
      </c>
      <c r="L4" s="4">
        <f t="shared" si="0"/>
        <v>120000</v>
      </c>
      <c r="M4" t="str">
        <f t="shared" si="1"/>
        <v>High</v>
      </c>
      <c r="P4" t="str">
        <f>VLOOKUP(E4,Product_Lookup!$A$2:$D$9,2,FALSE)</f>
        <v>Laptop</v>
      </c>
      <c r="Q4" t="str">
        <f>_xlfn.XLOOKUP(E4,Product_Lookup!$A$2:$A$9,Product_Lookup!$B$2:$B$9)</f>
        <v>Laptop</v>
      </c>
    </row>
    <row r="5" spans="1:17" x14ac:dyDescent="0.3">
      <c r="A5">
        <v>1025</v>
      </c>
      <c r="B5" s="2">
        <v>46275</v>
      </c>
      <c r="C5" t="s">
        <v>11</v>
      </c>
      <c r="D5" t="s">
        <v>12</v>
      </c>
      <c r="E5">
        <v>101</v>
      </c>
      <c r="F5" t="s">
        <v>13</v>
      </c>
      <c r="G5" t="s">
        <v>14</v>
      </c>
      <c r="H5">
        <v>5</v>
      </c>
      <c r="I5" s="3">
        <v>60000</v>
      </c>
      <c r="J5" t="s">
        <v>15</v>
      </c>
      <c r="K5" t="s">
        <v>35</v>
      </c>
      <c r="L5" s="4">
        <f t="shared" si="0"/>
        <v>300000</v>
      </c>
      <c r="M5" t="str">
        <f t="shared" si="1"/>
        <v>High</v>
      </c>
      <c r="P5" t="str">
        <f>VLOOKUP(E5,Product_Lookup!$A$2:$D$9,2,FALSE)</f>
        <v>Laptop</v>
      </c>
      <c r="Q5" t="str">
        <f>_xlfn.XLOOKUP(E5,Product_Lookup!$A$2:$A$9,Product_Lookup!$B$2:$B$9)</f>
        <v>Laptop</v>
      </c>
    </row>
    <row r="6" spans="1:17" x14ac:dyDescent="0.3">
      <c r="A6">
        <v>1006</v>
      </c>
      <c r="B6" s="2">
        <v>46271</v>
      </c>
      <c r="C6" t="s">
        <v>36</v>
      </c>
      <c r="D6" t="s">
        <v>37</v>
      </c>
      <c r="E6">
        <v>106</v>
      </c>
      <c r="F6" t="s">
        <v>38</v>
      </c>
      <c r="G6" t="s">
        <v>14</v>
      </c>
      <c r="H6">
        <v>1</v>
      </c>
      <c r="I6" s="3">
        <v>18000</v>
      </c>
      <c r="J6" t="s">
        <v>20</v>
      </c>
      <c r="K6" t="s">
        <v>16</v>
      </c>
      <c r="L6" s="4">
        <f t="shared" si="0"/>
        <v>18000</v>
      </c>
      <c r="M6" t="str">
        <f t="shared" si="1"/>
        <v>Normal</v>
      </c>
      <c r="P6" t="str">
        <f>VLOOKUP(E6,Product_Lookup!$A$2:$D$9,2,FALSE)</f>
        <v>Monitor</v>
      </c>
      <c r="Q6" t="str">
        <f>_xlfn.XLOOKUP(E6,Product_Lookup!$A$2:$A$9,Product_Lookup!$B$2:$B$9)</f>
        <v>Monitor</v>
      </c>
    </row>
    <row r="7" spans="1:17" x14ac:dyDescent="0.3">
      <c r="A7">
        <v>1014</v>
      </c>
      <c r="B7" s="2">
        <v>46279</v>
      </c>
      <c r="C7" t="s">
        <v>36</v>
      </c>
      <c r="D7" t="s">
        <v>37</v>
      </c>
      <c r="E7">
        <v>106</v>
      </c>
      <c r="F7" t="s">
        <v>38</v>
      </c>
      <c r="G7" t="s">
        <v>14</v>
      </c>
      <c r="H7">
        <v>4</v>
      </c>
      <c r="I7" s="3">
        <v>18000</v>
      </c>
      <c r="J7" t="s">
        <v>20</v>
      </c>
      <c r="K7" t="s">
        <v>32</v>
      </c>
      <c r="L7" s="4">
        <f t="shared" si="0"/>
        <v>72000</v>
      </c>
      <c r="M7" t="str">
        <f t="shared" si="1"/>
        <v>High</v>
      </c>
      <c r="P7" t="str">
        <f>VLOOKUP(E7,Product_Lookup!$A$2:$D$9,2,FALSE)</f>
        <v>Monitor</v>
      </c>
      <c r="Q7" t="str">
        <f>_xlfn.XLOOKUP(E7,Product_Lookup!$A$2:$A$9,Product_Lookup!$B$2:$B$9)</f>
        <v>Monitor</v>
      </c>
    </row>
    <row r="8" spans="1:17" x14ac:dyDescent="0.3">
      <c r="A8">
        <v>1022</v>
      </c>
      <c r="B8" s="2">
        <v>46272</v>
      </c>
      <c r="C8" t="s">
        <v>36</v>
      </c>
      <c r="D8" t="s">
        <v>37</v>
      </c>
      <c r="E8">
        <v>106</v>
      </c>
      <c r="F8" t="s">
        <v>38</v>
      </c>
      <c r="G8" t="s">
        <v>14</v>
      </c>
      <c r="H8">
        <v>2</v>
      </c>
      <c r="I8" s="3">
        <v>18000</v>
      </c>
      <c r="J8" t="s">
        <v>20</v>
      </c>
      <c r="K8" t="s">
        <v>21</v>
      </c>
      <c r="L8" s="4">
        <f t="shared" si="0"/>
        <v>36000</v>
      </c>
      <c r="M8" t="str">
        <f t="shared" si="1"/>
        <v>Normal</v>
      </c>
      <c r="P8" t="str">
        <f>VLOOKUP(E8,Product_Lookup!$A$2:$D$9,2,FALSE)</f>
        <v>Monitor</v>
      </c>
      <c r="Q8" t="str">
        <f>_xlfn.XLOOKUP(E8,Product_Lookup!$A$2:$A$9,Product_Lookup!$B$2:$B$9)</f>
        <v>Monitor</v>
      </c>
    </row>
    <row r="9" spans="1:17" x14ac:dyDescent="0.3">
      <c r="A9">
        <v>1030</v>
      </c>
      <c r="B9" s="2">
        <v>46280</v>
      </c>
      <c r="C9" t="s">
        <v>36</v>
      </c>
      <c r="D9" t="s">
        <v>37</v>
      </c>
      <c r="E9">
        <v>106</v>
      </c>
      <c r="F9" t="s">
        <v>38</v>
      </c>
      <c r="G9" t="s">
        <v>14</v>
      </c>
      <c r="H9">
        <v>5</v>
      </c>
      <c r="I9" s="3">
        <v>18000</v>
      </c>
      <c r="J9" t="s">
        <v>20</v>
      </c>
      <c r="K9" t="s">
        <v>35</v>
      </c>
      <c r="L9" s="4">
        <f t="shared" si="0"/>
        <v>90000</v>
      </c>
      <c r="M9" t="str">
        <f t="shared" si="1"/>
        <v>High</v>
      </c>
      <c r="P9" t="str">
        <f>VLOOKUP(E9,Product_Lookup!$A$2:$D$9,2,FALSE)</f>
        <v>Monitor</v>
      </c>
      <c r="Q9" t="str">
        <f>_xlfn.XLOOKUP(E9,Product_Lookup!$A$2:$A$9,Product_Lookup!$B$2:$B$9)</f>
        <v>Monitor</v>
      </c>
    </row>
    <row r="10" spans="1:17" x14ac:dyDescent="0.3">
      <c r="A10">
        <v>1005</v>
      </c>
      <c r="B10" s="2">
        <v>46270</v>
      </c>
      <c r="C10" t="s">
        <v>33</v>
      </c>
      <c r="D10" t="s">
        <v>12</v>
      </c>
      <c r="E10">
        <v>105</v>
      </c>
      <c r="F10" t="s">
        <v>34</v>
      </c>
      <c r="G10" t="s">
        <v>25</v>
      </c>
      <c r="H10">
        <v>5</v>
      </c>
      <c r="I10" s="3">
        <v>12000</v>
      </c>
      <c r="J10" t="s">
        <v>15</v>
      </c>
      <c r="K10" t="s">
        <v>35</v>
      </c>
      <c r="L10" s="4">
        <f t="shared" si="0"/>
        <v>60000</v>
      </c>
      <c r="M10" t="str">
        <f t="shared" si="1"/>
        <v>High</v>
      </c>
      <c r="P10" t="str">
        <f>VLOOKUP(E10,Product_Lookup!$A$2:$D$9,2,FALSE)</f>
        <v>Desk</v>
      </c>
      <c r="Q10" t="str">
        <f>_xlfn.XLOOKUP(E10,Product_Lookup!$A$2:$A$9,Product_Lookup!$B$2:$B$9)</f>
        <v>Desk</v>
      </c>
    </row>
    <row r="11" spans="1:17" x14ac:dyDescent="0.3">
      <c r="A11">
        <v>1013</v>
      </c>
      <c r="B11" s="2">
        <v>46278</v>
      </c>
      <c r="C11" t="s">
        <v>33</v>
      </c>
      <c r="D11" t="s">
        <v>12</v>
      </c>
      <c r="E11">
        <v>105</v>
      </c>
      <c r="F11" t="s">
        <v>34</v>
      </c>
      <c r="G11" t="s">
        <v>25</v>
      </c>
      <c r="H11">
        <v>3</v>
      </c>
      <c r="I11" s="3">
        <v>12000</v>
      </c>
      <c r="J11" t="s">
        <v>15</v>
      </c>
      <c r="K11" t="s">
        <v>27</v>
      </c>
      <c r="L11" s="4">
        <f t="shared" si="0"/>
        <v>36000</v>
      </c>
      <c r="M11" t="str">
        <f t="shared" si="1"/>
        <v>Normal</v>
      </c>
      <c r="P11" t="str">
        <f>VLOOKUP(E11,Product_Lookup!$A$2:$D$9,2,FALSE)</f>
        <v>Desk</v>
      </c>
      <c r="Q11" t="str">
        <f>_xlfn.XLOOKUP(E11,Product_Lookup!$A$2:$A$9,Product_Lookup!$B$2:$B$9)</f>
        <v>Desk</v>
      </c>
    </row>
    <row r="12" spans="1:17" x14ac:dyDescent="0.3">
      <c r="A12">
        <v>1021</v>
      </c>
      <c r="B12" s="2">
        <v>46271</v>
      </c>
      <c r="C12" t="s">
        <v>33</v>
      </c>
      <c r="D12" t="s">
        <v>12</v>
      </c>
      <c r="E12">
        <v>105</v>
      </c>
      <c r="F12" t="s">
        <v>34</v>
      </c>
      <c r="G12" t="s">
        <v>25</v>
      </c>
      <c r="H12">
        <v>1</v>
      </c>
      <c r="I12" s="3">
        <v>12000</v>
      </c>
      <c r="J12" t="s">
        <v>15</v>
      </c>
      <c r="K12" t="s">
        <v>16</v>
      </c>
      <c r="L12" s="4">
        <f t="shared" si="0"/>
        <v>12000</v>
      </c>
      <c r="M12" t="str">
        <f t="shared" si="1"/>
        <v>Normal</v>
      </c>
      <c r="P12" t="str">
        <f>VLOOKUP(E12,Product_Lookup!$A$2:$D$9,2,FALSE)</f>
        <v>Desk</v>
      </c>
      <c r="Q12" t="str">
        <f>_xlfn.XLOOKUP(E12,Product_Lookup!$A$2:$A$9,Product_Lookup!$B$2:$B$9)</f>
        <v>Desk</v>
      </c>
    </row>
    <row r="13" spans="1:17" x14ac:dyDescent="0.3">
      <c r="A13">
        <v>1029</v>
      </c>
      <c r="B13" s="2">
        <v>46279</v>
      </c>
      <c r="C13" t="s">
        <v>33</v>
      </c>
      <c r="D13" t="s">
        <v>12</v>
      </c>
      <c r="E13">
        <v>105</v>
      </c>
      <c r="F13" t="s">
        <v>34</v>
      </c>
      <c r="G13" t="s">
        <v>25</v>
      </c>
      <c r="H13">
        <v>4</v>
      </c>
      <c r="I13" s="3">
        <v>12000</v>
      </c>
      <c r="J13" t="s">
        <v>15</v>
      </c>
      <c r="K13" t="s">
        <v>32</v>
      </c>
      <c r="L13" s="4">
        <f t="shared" si="0"/>
        <v>48000</v>
      </c>
      <c r="M13" t="str">
        <f t="shared" si="1"/>
        <v>Normal</v>
      </c>
      <c r="P13" t="str">
        <f>VLOOKUP(E13,Product_Lookup!$A$2:$D$9,2,FALSE)</f>
        <v>Desk</v>
      </c>
      <c r="Q13" t="str">
        <f>_xlfn.XLOOKUP(E13,Product_Lookup!$A$2:$A$9,Product_Lookup!$B$2:$B$9)</f>
        <v>Desk</v>
      </c>
    </row>
    <row r="14" spans="1:17" x14ac:dyDescent="0.3">
      <c r="A14">
        <v>1007</v>
      </c>
      <c r="B14" s="2">
        <v>46272</v>
      </c>
      <c r="C14" t="s">
        <v>39</v>
      </c>
      <c r="D14" t="s">
        <v>40</v>
      </c>
      <c r="E14">
        <v>107</v>
      </c>
      <c r="F14" t="s">
        <v>41</v>
      </c>
      <c r="G14" t="s">
        <v>25</v>
      </c>
      <c r="H14">
        <v>2</v>
      </c>
      <c r="I14" s="3">
        <v>9000</v>
      </c>
      <c r="J14" t="s">
        <v>26</v>
      </c>
      <c r="K14" t="s">
        <v>21</v>
      </c>
      <c r="L14" s="4">
        <f t="shared" si="0"/>
        <v>18000</v>
      </c>
      <c r="M14" t="str">
        <f t="shared" si="1"/>
        <v>Normal</v>
      </c>
      <c r="P14" t="str">
        <f>VLOOKUP(E14,Product_Lookup!$A$2:$D$9,2,FALSE)</f>
        <v>Bookshelf</v>
      </c>
      <c r="Q14" t="str">
        <f>_xlfn.XLOOKUP(E14,Product_Lookup!$A$2:$A$9,Product_Lookup!$B$2:$B$9)</f>
        <v>Bookshelf</v>
      </c>
    </row>
    <row r="15" spans="1:17" x14ac:dyDescent="0.3">
      <c r="A15">
        <v>1015</v>
      </c>
      <c r="B15" s="2">
        <v>46280</v>
      </c>
      <c r="C15" t="s">
        <v>39</v>
      </c>
      <c r="D15" t="s">
        <v>40</v>
      </c>
      <c r="E15">
        <v>107</v>
      </c>
      <c r="F15" t="s">
        <v>41</v>
      </c>
      <c r="G15" t="s">
        <v>25</v>
      </c>
      <c r="H15">
        <v>5</v>
      </c>
      <c r="I15" s="3">
        <v>9000</v>
      </c>
      <c r="J15" t="s">
        <v>26</v>
      </c>
      <c r="K15" t="s">
        <v>35</v>
      </c>
      <c r="L15" s="4">
        <f t="shared" si="0"/>
        <v>45000</v>
      </c>
      <c r="M15" t="str">
        <f t="shared" si="1"/>
        <v>Normal</v>
      </c>
      <c r="P15" t="str">
        <f>VLOOKUP(E15,Product_Lookup!$A$2:$D$9,2,FALSE)</f>
        <v>Bookshelf</v>
      </c>
      <c r="Q15" t="str">
        <f>_xlfn.XLOOKUP(E15,Product_Lookup!$A$2:$A$9,Product_Lookup!$B$2:$B$9)</f>
        <v>Bookshelf</v>
      </c>
    </row>
    <row r="16" spans="1:17" x14ac:dyDescent="0.3">
      <c r="A16">
        <v>1023</v>
      </c>
      <c r="B16" s="2">
        <v>46273</v>
      </c>
      <c r="C16" t="s">
        <v>39</v>
      </c>
      <c r="D16" t="s">
        <v>40</v>
      </c>
      <c r="E16">
        <v>107</v>
      </c>
      <c r="F16" t="s">
        <v>41</v>
      </c>
      <c r="G16" t="s">
        <v>25</v>
      </c>
      <c r="H16">
        <v>3</v>
      </c>
      <c r="I16" s="3">
        <v>9000</v>
      </c>
      <c r="J16" t="s">
        <v>26</v>
      </c>
      <c r="K16" t="s">
        <v>27</v>
      </c>
      <c r="L16" s="4">
        <f t="shared" si="0"/>
        <v>27000</v>
      </c>
      <c r="M16" t="str">
        <f t="shared" si="1"/>
        <v>Normal</v>
      </c>
      <c r="P16" t="str">
        <f>VLOOKUP(E16,Product_Lookup!$A$2:$D$9,2,FALSE)</f>
        <v>Bookshelf</v>
      </c>
      <c r="Q16" t="str">
        <f>_xlfn.XLOOKUP(E16,Product_Lookup!$A$2:$A$9,Product_Lookup!$B$2:$B$9)</f>
        <v>Bookshelf</v>
      </c>
    </row>
    <row r="17" spans="1:17" x14ac:dyDescent="0.3">
      <c r="A17">
        <v>1003</v>
      </c>
      <c r="B17" s="2">
        <v>46268</v>
      </c>
      <c r="C17" t="s">
        <v>22</v>
      </c>
      <c r="D17" t="s">
        <v>23</v>
      </c>
      <c r="E17">
        <v>103</v>
      </c>
      <c r="F17" t="s">
        <v>24</v>
      </c>
      <c r="G17" t="s">
        <v>25</v>
      </c>
      <c r="H17">
        <v>3</v>
      </c>
      <c r="I17" s="3">
        <v>7500</v>
      </c>
      <c r="J17" t="s">
        <v>26</v>
      </c>
      <c r="K17" t="s">
        <v>27</v>
      </c>
      <c r="L17" s="4">
        <f t="shared" si="0"/>
        <v>22500</v>
      </c>
      <c r="M17" t="str">
        <f t="shared" si="1"/>
        <v>Normal</v>
      </c>
      <c r="P17" t="str">
        <f>VLOOKUP(E17,Product_Lookup!$A$2:$D$9,2,FALSE)</f>
        <v>Office Chair</v>
      </c>
      <c r="Q17" t="str">
        <f>_xlfn.XLOOKUP(E17,Product_Lookup!$A$2:$A$9,Product_Lookup!$B$2:$B$9)</f>
        <v>Office Chair</v>
      </c>
    </row>
    <row r="18" spans="1:17" x14ac:dyDescent="0.3">
      <c r="A18">
        <v>1011</v>
      </c>
      <c r="B18" s="2">
        <v>46276</v>
      </c>
      <c r="C18" t="s">
        <v>22</v>
      </c>
      <c r="D18" t="s">
        <v>23</v>
      </c>
      <c r="E18">
        <v>103</v>
      </c>
      <c r="F18" t="s">
        <v>24</v>
      </c>
      <c r="G18" t="s">
        <v>25</v>
      </c>
      <c r="H18">
        <v>1</v>
      </c>
      <c r="I18" s="3">
        <v>7500</v>
      </c>
      <c r="J18" t="s">
        <v>26</v>
      </c>
      <c r="K18" t="s">
        <v>16</v>
      </c>
      <c r="L18" s="4">
        <f t="shared" si="0"/>
        <v>7500</v>
      </c>
      <c r="M18" t="str">
        <f t="shared" si="1"/>
        <v>Normal</v>
      </c>
      <c r="P18" t="str">
        <f>VLOOKUP(E18,Product_Lookup!$A$2:$D$9,2,FALSE)</f>
        <v>Office Chair</v>
      </c>
      <c r="Q18" t="str">
        <f>_xlfn.XLOOKUP(E18,Product_Lookup!$A$2:$A$9,Product_Lookup!$B$2:$B$9)</f>
        <v>Office Chair</v>
      </c>
    </row>
    <row r="19" spans="1:17" x14ac:dyDescent="0.3">
      <c r="A19">
        <v>1019</v>
      </c>
      <c r="B19" s="2">
        <v>46269</v>
      </c>
      <c r="C19" t="s">
        <v>22</v>
      </c>
      <c r="D19" t="s">
        <v>23</v>
      </c>
      <c r="E19">
        <v>103</v>
      </c>
      <c r="F19" t="s">
        <v>24</v>
      </c>
      <c r="G19" t="s">
        <v>25</v>
      </c>
      <c r="H19">
        <v>4</v>
      </c>
      <c r="I19" s="3">
        <v>7500</v>
      </c>
      <c r="J19" t="s">
        <v>26</v>
      </c>
      <c r="K19" t="s">
        <v>32</v>
      </c>
      <c r="L19" s="4">
        <f t="shared" si="0"/>
        <v>30000</v>
      </c>
      <c r="M19" t="str">
        <f t="shared" si="1"/>
        <v>Normal</v>
      </c>
      <c r="P19" t="str">
        <f>VLOOKUP(E19,Product_Lookup!$A$2:$D$9,2,FALSE)</f>
        <v>Office Chair</v>
      </c>
      <c r="Q19" t="str">
        <f>_xlfn.XLOOKUP(E19,Product_Lookup!$A$2:$A$9,Product_Lookup!$B$2:$B$9)</f>
        <v>Office Chair</v>
      </c>
    </row>
    <row r="20" spans="1:17" x14ac:dyDescent="0.3">
      <c r="A20">
        <v>1027</v>
      </c>
      <c r="B20" s="2">
        <v>46277</v>
      </c>
      <c r="C20" t="s">
        <v>22</v>
      </c>
      <c r="D20" t="s">
        <v>23</v>
      </c>
      <c r="E20">
        <v>103</v>
      </c>
      <c r="F20" t="s">
        <v>24</v>
      </c>
      <c r="G20" t="s">
        <v>25</v>
      </c>
      <c r="H20">
        <v>2</v>
      </c>
      <c r="I20" s="3">
        <v>7500</v>
      </c>
      <c r="J20" t="s">
        <v>26</v>
      </c>
      <c r="K20" t="s">
        <v>21</v>
      </c>
      <c r="L20" s="4">
        <f t="shared" si="0"/>
        <v>15000</v>
      </c>
      <c r="M20" t="str">
        <f t="shared" si="1"/>
        <v>Normal</v>
      </c>
      <c r="P20" t="str">
        <f>VLOOKUP(E20,Product_Lookup!$A$2:$D$9,2,FALSE)</f>
        <v>Office Chair</v>
      </c>
      <c r="Q20" t="str">
        <f>_xlfn.XLOOKUP(E20,Product_Lookup!$A$2:$A$9,Product_Lookup!$B$2:$B$9)</f>
        <v>Office Chair</v>
      </c>
    </row>
    <row r="21" spans="1:17" x14ac:dyDescent="0.3">
      <c r="A21">
        <v>1008</v>
      </c>
      <c r="B21" s="2">
        <v>46273</v>
      </c>
      <c r="C21" t="s">
        <v>42</v>
      </c>
      <c r="D21" t="s">
        <v>43</v>
      </c>
      <c r="E21">
        <v>108</v>
      </c>
      <c r="F21" t="s">
        <v>44</v>
      </c>
      <c r="G21" t="s">
        <v>14</v>
      </c>
      <c r="H21">
        <v>3</v>
      </c>
      <c r="I21" s="3">
        <v>2500</v>
      </c>
      <c r="J21" t="s">
        <v>31</v>
      </c>
      <c r="K21" t="s">
        <v>27</v>
      </c>
      <c r="L21" s="4">
        <f t="shared" si="0"/>
        <v>7500</v>
      </c>
      <c r="M21" t="str">
        <f t="shared" si="1"/>
        <v>Normal</v>
      </c>
      <c r="P21" t="str">
        <f>VLOOKUP(E21,Product_Lookup!$A$2:$D$9,2,FALSE)</f>
        <v>Headphones</v>
      </c>
      <c r="Q21" t="str">
        <f>_xlfn.XLOOKUP(E21,Product_Lookup!$A$2:$A$9,Product_Lookup!$B$2:$B$9)</f>
        <v>Headphones</v>
      </c>
    </row>
    <row r="22" spans="1:17" x14ac:dyDescent="0.3">
      <c r="A22">
        <v>1016</v>
      </c>
      <c r="B22" s="2">
        <v>46266</v>
      </c>
      <c r="C22" t="s">
        <v>42</v>
      </c>
      <c r="D22" t="s">
        <v>43</v>
      </c>
      <c r="E22">
        <v>108</v>
      </c>
      <c r="F22" t="s">
        <v>44</v>
      </c>
      <c r="G22" t="s">
        <v>14</v>
      </c>
      <c r="H22">
        <v>1</v>
      </c>
      <c r="I22" s="3">
        <v>2500</v>
      </c>
      <c r="J22" t="s">
        <v>31</v>
      </c>
      <c r="K22" t="s">
        <v>16</v>
      </c>
      <c r="L22" s="4">
        <f t="shared" si="0"/>
        <v>2500</v>
      </c>
      <c r="M22" t="str">
        <f t="shared" si="1"/>
        <v>Normal</v>
      </c>
      <c r="P22" t="str">
        <f>VLOOKUP(E22,Product_Lookup!$A$2:$D$9,2,FALSE)</f>
        <v>Headphones</v>
      </c>
      <c r="Q22" t="str">
        <f>_xlfn.XLOOKUP(E22,Product_Lookup!$A$2:$A$9,Product_Lookup!$B$2:$B$9)</f>
        <v>Headphones</v>
      </c>
    </row>
    <row r="23" spans="1:17" x14ac:dyDescent="0.3">
      <c r="A23">
        <v>1024</v>
      </c>
      <c r="B23" s="2">
        <v>46274</v>
      </c>
      <c r="C23" t="s">
        <v>42</v>
      </c>
      <c r="D23" t="s">
        <v>43</v>
      </c>
      <c r="E23">
        <v>108</v>
      </c>
      <c r="F23" t="s">
        <v>44</v>
      </c>
      <c r="G23" t="s">
        <v>14</v>
      </c>
      <c r="H23">
        <v>4</v>
      </c>
      <c r="I23" s="3">
        <v>2500</v>
      </c>
      <c r="J23" t="s">
        <v>31</v>
      </c>
      <c r="K23" t="s">
        <v>32</v>
      </c>
      <c r="L23" s="4">
        <f t="shared" si="0"/>
        <v>10000</v>
      </c>
      <c r="M23" t="str">
        <f t="shared" si="1"/>
        <v>Normal</v>
      </c>
      <c r="P23" t="str">
        <f>VLOOKUP(E23,Product_Lookup!$A$2:$D$9,2,FALSE)</f>
        <v>Headphones</v>
      </c>
      <c r="Q23" t="str">
        <f>_xlfn.XLOOKUP(E23,Product_Lookup!$A$2:$A$9,Product_Lookup!$B$2:$B$9)</f>
        <v>Headphones</v>
      </c>
    </row>
    <row r="24" spans="1:17" x14ac:dyDescent="0.3">
      <c r="A24">
        <v>1004</v>
      </c>
      <c r="B24" s="2">
        <v>46269</v>
      </c>
      <c r="C24" t="s">
        <v>28</v>
      </c>
      <c r="D24" t="s">
        <v>29</v>
      </c>
      <c r="E24">
        <v>104</v>
      </c>
      <c r="F24" t="s">
        <v>30</v>
      </c>
      <c r="G24" t="s">
        <v>14</v>
      </c>
      <c r="H24">
        <v>4</v>
      </c>
      <c r="I24" s="3">
        <v>1500</v>
      </c>
      <c r="J24" t="s">
        <v>31</v>
      </c>
      <c r="K24" t="s">
        <v>32</v>
      </c>
      <c r="L24" s="4">
        <f t="shared" si="0"/>
        <v>6000</v>
      </c>
      <c r="M24" t="str">
        <f t="shared" si="1"/>
        <v>Normal</v>
      </c>
      <c r="P24" t="str">
        <f>VLOOKUP(E24,Product_Lookup!$A$2:$D$9,2,FALSE)</f>
        <v>Keyboard</v>
      </c>
      <c r="Q24" t="str">
        <f>_xlfn.XLOOKUP(E24,Product_Lookup!$A$2:$A$9,Product_Lookup!$B$2:$B$9)</f>
        <v>Keyboard</v>
      </c>
    </row>
    <row r="25" spans="1:17" x14ac:dyDescent="0.3">
      <c r="A25">
        <v>1012</v>
      </c>
      <c r="B25" s="2">
        <v>46277</v>
      </c>
      <c r="C25" t="s">
        <v>28</v>
      </c>
      <c r="D25" t="s">
        <v>29</v>
      </c>
      <c r="E25">
        <v>104</v>
      </c>
      <c r="F25" t="s">
        <v>30</v>
      </c>
      <c r="G25" t="s">
        <v>14</v>
      </c>
      <c r="H25">
        <v>2</v>
      </c>
      <c r="I25" s="3">
        <v>1500</v>
      </c>
      <c r="J25" t="s">
        <v>31</v>
      </c>
      <c r="K25" t="s">
        <v>21</v>
      </c>
      <c r="L25" s="4">
        <f t="shared" si="0"/>
        <v>3000</v>
      </c>
      <c r="M25" t="str">
        <f t="shared" si="1"/>
        <v>Normal</v>
      </c>
      <c r="P25" t="str">
        <f>VLOOKUP(E25,Product_Lookup!$A$2:$D$9,2,FALSE)</f>
        <v>Keyboard</v>
      </c>
      <c r="Q25" t="str">
        <f>_xlfn.XLOOKUP(E25,Product_Lookup!$A$2:$A$9,Product_Lookup!$B$2:$B$9)</f>
        <v>Keyboard</v>
      </c>
    </row>
    <row r="26" spans="1:17" x14ac:dyDescent="0.3">
      <c r="A26">
        <v>1020</v>
      </c>
      <c r="B26" s="2">
        <v>46270</v>
      </c>
      <c r="C26" t="s">
        <v>28</v>
      </c>
      <c r="D26" t="s">
        <v>29</v>
      </c>
      <c r="E26">
        <v>104</v>
      </c>
      <c r="F26" t="s">
        <v>30</v>
      </c>
      <c r="G26" t="s">
        <v>14</v>
      </c>
      <c r="H26">
        <v>5</v>
      </c>
      <c r="I26" s="3">
        <v>1500</v>
      </c>
      <c r="J26" t="s">
        <v>31</v>
      </c>
      <c r="K26" t="s">
        <v>35</v>
      </c>
      <c r="L26" s="4">
        <f t="shared" si="0"/>
        <v>7500</v>
      </c>
      <c r="M26" t="str">
        <f t="shared" si="1"/>
        <v>Normal</v>
      </c>
      <c r="P26" t="str">
        <f>VLOOKUP(E26,Product_Lookup!$A$2:$D$9,2,FALSE)</f>
        <v>Keyboard</v>
      </c>
      <c r="Q26" t="str">
        <f>_xlfn.XLOOKUP(E26,Product_Lookup!$A$2:$A$9,Product_Lookup!$B$2:$B$9)</f>
        <v>Keyboard</v>
      </c>
    </row>
    <row r="27" spans="1:17" x14ac:dyDescent="0.3">
      <c r="A27">
        <v>1028</v>
      </c>
      <c r="B27" s="2">
        <v>46278</v>
      </c>
      <c r="C27" t="s">
        <v>28</v>
      </c>
      <c r="D27" t="s">
        <v>29</v>
      </c>
      <c r="E27">
        <v>104</v>
      </c>
      <c r="F27" t="s">
        <v>30</v>
      </c>
      <c r="G27" t="s">
        <v>14</v>
      </c>
      <c r="H27">
        <v>3</v>
      </c>
      <c r="I27" s="3">
        <v>1500</v>
      </c>
      <c r="J27" t="s">
        <v>31</v>
      </c>
      <c r="K27" t="s">
        <v>27</v>
      </c>
      <c r="L27" s="4">
        <f t="shared" si="0"/>
        <v>4500</v>
      </c>
      <c r="M27" t="str">
        <f t="shared" si="1"/>
        <v>Normal</v>
      </c>
      <c r="P27" t="str">
        <f>VLOOKUP(E27,Product_Lookup!$A$2:$D$9,2,FALSE)</f>
        <v>Keyboard</v>
      </c>
      <c r="Q27" t="str">
        <f>_xlfn.XLOOKUP(E27,Product_Lookup!$A$2:$A$9,Product_Lookup!$B$2:$B$9)</f>
        <v>Keyboard</v>
      </c>
    </row>
    <row r="28" spans="1:17" x14ac:dyDescent="0.3">
      <c r="A28">
        <v>1002</v>
      </c>
      <c r="B28" s="2">
        <v>46267</v>
      </c>
      <c r="C28" t="s">
        <v>17</v>
      </c>
      <c r="D28" t="s">
        <v>18</v>
      </c>
      <c r="E28">
        <v>102</v>
      </c>
      <c r="F28" t="s">
        <v>19</v>
      </c>
      <c r="G28" t="s">
        <v>14</v>
      </c>
      <c r="H28">
        <v>2</v>
      </c>
      <c r="I28" s="3">
        <v>800</v>
      </c>
      <c r="J28" t="s">
        <v>20</v>
      </c>
      <c r="K28" t="s">
        <v>21</v>
      </c>
      <c r="L28" s="4">
        <f t="shared" si="0"/>
        <v>1600</v>
      </c>
      <c r="M28" t="str">
        <f t="shared" si="1"/>
        <v>Normal</v>
      </c>
      <c r="P28" t="str">
        <f>VLOOKUP(E28,Product_Lookup!$A$2:$D$9,2,FALSE)</f>
        <v>Mouse</v>
      </c>
      <c r="Q28" t="str">
        <f>_xlfn.XLOOKUP(E28,Product_Lookup!$A$2:$A$9,Product_Lookup!$B$2:$B$9)</f>
        <v>Mouse</v>
      </c>
    </row>
    <row r="29" spans="1:17" x14ac:dyDescent="0.3">
      <c r="A29">
        <v>1010</v>
      </c>
      <c r="B29" s="2">
        <v>46275</v>
      </c>
      <c r="C29" t="s">
        <v>17</v>
      </c>
      <c r="D29" t="s">
        <v>18</v>
      </c>
      <c r="E29">
        <v>102</v>
      </c>
      <c r="F29" t="s">
        <v>19</v>
      </c>
      <c r="G29" t="s">
        <v>14</v>
      </c>
      <c r="H29">
        <v>5</v>
      </c>
      <c r="I29" s="3">
        <v>800</v>
      </c>
      <c r="J29" t="s">
        <v>20</v>
      </c>
      <c r="K29" t="s">
        <v>35</v>
      </c>
      <c r="L29" s="4">
        <f t="shared" si="0"/>
        <v>4000</v>
      </c>
      <c r="M29" t="str">
        <f t="shared" si="1"/>
        <v>Normal</v>
      </c>
      <c r="P29" t="str">
        <f>VLOOKUP(E29,Product_Lookup!$A$2:$D$9,2,FALSE)</f>
        <v>Mouse</v>
      </c>
      <c r="Q29" t="str">
        <f>_xlfn.XLOOKUP(E29,Product_Lookup!$A$2:$A$9,Product_Lookup!$B$2:$B$9)</f>
        <v>Mouse</v>
      </c>
    </row>
    <row r="30" spans="1:17" x14ac:dyDescent="0.3">
      <c r="A30">
        <v>1018</v>
      </c>
      <c r="B30" s="2">
        <v>46268</v>
      </c>
      <c r="C30" t="s">
        <v>17</v>
      </c>
      <c r="D30" t="s">
        <v>18</v>
      </c>
      <c r="E30">
        <v>102</v>
      </c>
      <c r="F30" t="s">
        <v>19</v>
      </c>
      <c r="G30" t="s">
        <v>14</v>
      </c>
      <c r="H30">
        <v>3</v>
      </c>
      <c r="I30" s="3">
        <v>800</v>
      </c>
      <c r="J30" t="s">
        <v>20</v>
      </c>
      <c r="K30" t="s">
        <v>27</v>
      </c>
      <c r="L30" s="4">
        <f t="shared" si="0"/>
        <v>2400</v>
      </c>
      <c r="M30" t="str">
        <f t="shared" si="1"/>
        <v>Normal</v>
      </c>
      <c r="P30" t="str">
        <f>VLOOKUP(E30,Product_Lookup!$A$2:$D$9,2,FALSE)</f>
        <v>Mouse</v>
      </c>
      <c r="Q30" t="str">
        <f>_xlfn.XLOOKUP(E30,Product_Lookup!$A$2:$A$9,Product_Lookup!$B$2:$B$9)</f>
        <v>Mouse</v>
      </c>
    </row>
    <row r="31" spans="1:17" x14ac:dyDescent="0.3">
      <c r="A31">
        <v>1026</v>
      </c>
      <c r="B31" s="2">
        <v>46276</v>
      </c>
      <c r="C31" t="s">
        <v>17</v>
      </c>
      <c r="D31" t="s">
        <v>18</v>
      </c>
      <c r="E31">
        <v>102</v>
      </c>
      <c r="F31" t="s">
        <v>19</v>
      </c>
      <c r="G31" t="s">
        <v>14</v>
      </c>
      <c r="H31">
        <v>1</v>
      </c>
      <c r="I31" s="3">
        <v>800</v>
      </c>
      <c r="J31" t="s">
        <v>20</v>
      </c>
      <c r="K31" t="s">
        <v>16</v>
      </c>
      <c r="L31" s="4">
        <f t="shared" si="0"/>
        <v>800</v>
      </c>
      <c r="M31" t="str">
        <f t="shared" si="1"/>
        <v>Normal</v>
      </c>
      <c r="P31" t="str">
        <f>VLOOKUP(E31,Product_Lookup!$A$2:$D$9,2,FALSE)</f>
        <v>Mouse</v>
      </c>
      <c r="Q31" t="str">
        <f>_xlfn.XLOOKUP(E31,Product_Lookup!$A$2:$A$9,Product_Lookup!$B$2:$B$9)</f>
        <v>Mouse</v>
      </c>
    </row>
  </sheetData>
  <sortState xmlns:xlrd2="http://schemas.microsoft.com/office/spreadsheetml/2017/richdata2" ref="A2:K31">
    <sortCondition descending="1" ref="I1:I31"/>
  </sortState>
  <conditionalFormatting sqref="L1:L1048576">
    <cfRule type="cellIs" dxfId="0" priority="1" operator="greaterThan">
      <formula>50000</formula>
    </cfRule>
  </conditionalFormatting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8" customWidth="1"/>
    <col min="3" max="3" width="15" customWidth="1"/>
    <col min="4" max="4" width="14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8</v>
      </c>
    </row>
    <row r="2" spans="1:4" x14ac:dyDescent="0.3">
      <c r="A2">
        <v>101</v>
      </c>
      <c r="B2" t="s">
        <v>13</v>
      </c>
      <c r="C2" t="s">
        <v>14</v>
      </c>
      <c r="D2" s="3">
        <v>60000</v>
      </c>
    </row>
    <row r="3" spans="1:4" x14ac:dyDescent="0.3">
      <c r="A3">
        <v>102</v>
      </c>
      <c r="B3" t="s">
        <v>19</v>
      </c>
      <c r="C3" t="s">
        <v>14</v>
      </c>
      <c r="D3" s="3">
        <v>800</v>
      </c>
    </row>
    <row r="4" spans="1:4" x14ac:dyDescent="0.3">
      <c r="A4">
        <v>103</v>
      </c>
      <c r="B4" t="s">
        <v>24</v>
      </c>
      <c r="C4" t="s">
        <v>25</v>
      </c>
      <c r="D4" s="3">
        <v>7500</v>
      </c>
    </row>
    <row r="5" spans="1:4" x14ac:dyDescent="0.3">
      <c r="A5">
        <v>104</v>
      </c>
      <c r="B5" t="s">
        <v>30</v>
      </c>
      <c r="C5" t="s">
        <v>14</v>
      </c>
      <c r="D5" s="3">
        <v>1500</v>
      </c>
    </row>
    <row r="6" spans="1:4" x14ac:dyDescent="0.3">
      <c r="A6">
        <v>105</v>
      </c>
      <c r="B6" t="s">
        <v>34</v>
      </c>
      <c r="C6" t="s">
        <v>25</v>
      </c>
      <c r="D6" s="3">
        <v>12000</v>
      </c>
    </row>
    <row r="7" spans="1:4" x14ac:dyDescent="0.3">
      <c r="A7">
        <v>106</v>
      </c>
      <c r="B7" t="s">
        <v>38</v>
      </c>
      <c r="C7" t="s">
        <v>14</v>
      </c>
      <c r="D7" s="3">
        <v>18000</v>
      </c>
    </row>
    <row r="8" spans="1:4" x14ac:dyDescent="0.3">
      <c r="A8">
        <v>107</v>
      </c>
      <c r="B8" t="s">
        <v>41</v>
      </c>
      <c r="C8" t="s">
        <v>25</v>
      </c>
      <c r="D8" s="3">
        <v>9000</v>
      </c>
    </row>
    <row r="9" spans="1:4" x14ac:dyDescent="0.3">
      <c r="A9">
        <v>108</v>
      </c>
      <c r="B9" t="s">
        <v>44</v>
      </c>
      <c r="C9" t="s">
        <v>14</v>
      </c>
      <c r="D9" s="3">
        <v>2500</v>
      </c>
    </row>
  </sheetData>
  <autoFilter ref="A1:D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Pivot_Analysis</vt:lpstr>
      <vt:lpstr>Sales_Data</vt:lpstr>
      <vt:lpstr>Product_Lookup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Ashvin Bhatt</cp:lastModifiedBy>
  <dcterms:created xsi:type="dcterms:W3CDTF">2026-10-04T18:21:27Z</dcterms:created>
  <dcterms:modified xsi:type="dcterms:W3CDTF">2026-10-04T19:57:57Z</dcterms:modified>
</cp:coreProperties>
</file>